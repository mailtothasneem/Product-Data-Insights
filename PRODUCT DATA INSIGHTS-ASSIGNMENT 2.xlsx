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FA20B3D-36D4-4AC3-8B32-3AF6346E1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O4" i="1"/>
  <c r="M9" i="1"/>
  <c r="M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M19" i="1"/>
  <c r="M15" i="1"/>
</calcChain>
</file>

<file path=xl/sharedStrings.xml><?xml version="1.0" encoding="utf-8"?>
<sst xmlns="http://schemas.openxmlformats.org/spreadsheetml/2006/main" count="184" uniqueCount="128">
  <si>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</si>
  <si>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</si>
  <si>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</si>
  <si>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</si>
  <si>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</si>
  <si>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</si>
  <si>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</si>
  <si>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</si>
  <si>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</si>
  <si>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</si>
  <si>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</si>
  <si>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</si>
  <si>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</si>
  <si>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</si>
  <si>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</si>
  <si>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</si>
  <si>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</si>
  <si>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</si>
  <si>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</si>
  <si>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</si>
  <si>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</si>
  <si>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</si>
  <si>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</si>
  <si>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</si>
  <si>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</si>
  <si>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</si>
  <si>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</si>
  <si>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</si>
  <si>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</si>
  <si>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</si>
  <si>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</si>
  <si>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</si>
  <si>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</si>
  <si>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</si>
  <si>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</si>
  <si>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</si>
  <si>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</si>
  <si>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</si>
  <si>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</si>
  <si>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</si>
  <si>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</si>
  <si>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</si>
  <si>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</si>
  <si>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</si>
  <si>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</si>
  <si>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</si>
  <si>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</si>
  <si>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</si>
  <si>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</si>
  <si>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</si>
  <si>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</si>
  <si>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</si>
  <si>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</si>
  <si>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</si>
  <si>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</si>
  <si>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</si>
  <si>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</si>
  <si>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</si>
  <si>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</si>
  <si>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</si>
  <si>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</si>
  <si>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</si>
  <si>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</si>
  <si>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</si>
  <si>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</si>
  <si>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</si>
  <si>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</si>
  <si>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</si>
  <si>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</si>
  <si>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</si>
  <si>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</si>
  <si>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</si>
  <si>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</si>
  <si>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</si>
  <si>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</si>
  <si>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</si>
  <si>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</si>
  <si>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</si>
  <si>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</si>
  <si>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</si>
  <si>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</si>
  <si>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</si>
  <si>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</si>
  <si>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</si>
  <si>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</si>
  <si>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</si>
  <si>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</si>
  <si>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</si>
  <si>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</si>
  <si>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</si>
  <si>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</si>
  <si>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</si>
  <si>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1.Handling Missing Values</t>
  </si>
  <si>
    <t>check missing values in price column(D).</t>
  </si>
  <si>
    <t>If there are products with missing categories---</t>
  </si>
  <si>
    <t>2.Correcting inconsistent data</t>
  </si>
  <si>
    <t>T-Shirt</t>
  </si>
  <si>
    <t>Unknown</t>
  </si>
  <si>
    <t>Second=Find and Replace</t>
  </si>
  <si>
    <t>T-shirt =T-Shirt</t>
  </si>
  <si>
    <t>smartphone=Smartphone</t>
  </si>
  <si>
    <r>
      <t>laptop=</t>
    </r>
    <r>
      <rPr>
        <b/>
        <sz val="10"/>
        <color rgb="FF000000"/>
        <rFont val="Arial"/>
        <family val="2"/>
        <scheme val="minor"/>
      </rPr>
      <t>L</t>
    </r>
    <r>
      <rPr>
        <sz val="10"/>
        <color rgb="FF000000"/>
        <rFont val="Arial"/>
        <scheme val="minor"/>
      </rPr>
      <t>aptop</t>
    </r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</si>
  <si>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</si>
  <si>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</si>
  <si>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</si>
  <si>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</si>
  <si>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</si>
  <si>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</si>
  <si>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</si>
  <si>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</si>
  <si>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</si>
  <si>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</si>
  <si>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</si>
  <si>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</si>
  <si>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</si>
  <si>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Contry Code</t>
  </si>
  <si>
    <t>Product Brand</t>
  </si>
  <si>
    <t>Formula=IF(ISBLANK(I2),"Unknown",I2)</t>
  </si>
  <si>
    <t>Formula=PROPER(TRIM(CLEAN(D2)))</t>
  </si>
  <si>
    <t>First=TRIM(CLEAN(I2))</t>
  </si>
  <si>
    <t>A) Identifying inconsistent formats in Product Name column</t>
  </si>
  <si>
    <t>B) Identify any typos present in the "Category" column.</t>
  </si>
  <si>
    <t>C) Product Name column-Find and Replace</t>
  </si>
  <si>
    <t>Formula=IF(ISBLANK(G2),AVERAGE(G2:G32),G2)</t>
  </si>
  <si>
    <t>Merge column</t>
  </si>
  <si>
    <t>Formula  =CONCATENATE(D2,"--",E2)</t>
  </si>
  <si>
    <t>Total Price</t>
  </si>
  <si>
    <t>Find what= Electroni Replace with =Electronics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</si>
</sst>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₹-4009]\ #,##0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sz val="10"/>
      <color theme="1"/>
      <name val="Arial"/>
      <family val="2"/>
    </font>
    <font>
      <sz val="11"/>
      <color indexed="8"/>
      <name val="Calibri"/>
      <charset val="134"/>
    </font>
    <font>
      <b/>
      <sz val="10"/>
      <color rgb="FF000000"/>
      <name val="Arial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7" fillId="0" borderId="0" xfId="0" applyNumberFormat="1" applyFont="1" applyFill="1" applyBorder="1" applyAlignment="1" applyProtection="1"/>
    <xf numFmtId="0" fontId="8" fillId="0" borderId="0" xfId="0" applyFont="1" applyAlignment="1"/>
    <xf numFmtId="0" fontId="9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11" fillId="2" borderId="0" xfId="0" applyFont="1" applyFill="1" applyAlignment="1">
      <alignment horizontal="center"/>
    </xf>
    <xf numFmtId="0" fontId="12" fillId="0" borderId="0" xfId="0" applyFont="1" applyAlignment="1"/>
    <xf numFmtId="0" fontId="6" fillId="3" borderId="0" xfId="0" applyFont="1" applyFill="1"/>
    <xf numFmtId="164" fontId="0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/>
    <xf numFmtId="165" fontId="2" fillId="3" borderId="0" xfId="0" applyNumberFormat="1" applyFont="1" applyFill="1"/>
    <xf numFmtId="165" fontId="0" fillId="0" borderId="0" xfId="0" applyNumberFormat="1" applyFont="1" applyAlignment="1"/>
    <xf numFmtId="165" fontId="2" fillId="0" borderId="0" xfId="0" applyNumberFormat="1" applyFont="1" applyAlignment="1"/>
    <xf numFmtId="0" fontId="0" fillId="0" borderId="0" xfId="0" applyFont="1" applyAlignment="1">
      <alignment horizontal="center"/>
    </xf>
    <xf numFmtId="0" fontId="6" fillId="0" borderId="0" xfId="0" applyFont="1" applyAlignment="1"/>
    <xf numFmtId="165" fontId="3" fillId="0" borderId="0" xfId="0" applyNumberFormat="1" applyFont="1" applyAlignment="1"/>
    <xf numFmtId="0" fontId="12" fillId="4" borderId="0" xfId="0" applyFont="1" applyFill="1" applyAlignment="1"/>
    <xf numFmtId="0" fontId="8" fillId="4" borderId="0" xfId="0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-409]d\-mmm\-yy;@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5" formatCode="[$₹-4009]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₹-4009]\ #,##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30791-801F-47CD-8537-7A18FD1A1A81}" name="Table1" displayName="Table1" ref="M2:M9" totalsRowShown="0" headerRowDxfId="12">
  <autoFilter ref="M2:M9" xr:uid="{82230791-801F-47CD-8537-7A18FD1A1A81}"/>
  <tableColumns count="1">
    <tableColumn id="1" xr3:uid="{C5DFFF24-29AD-41F2-9C78-BD045D2AF43F}" name="1.Handling Missing Values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543664-40F2-42DF-9D5B-B682D84FA2F1}" name="Table4" displayName="Table4" ref="M12:M28" totalsRowShown="0" headerRowDxfId="11">
  <autoFilter ref="M12:M28" xr:uid="{91543664-40F2-42DF-9D5B-B682D84FA2F1}"/>
  <tableColumns count="1">
    <tableColumn id="1" xr3:uid="{285BDB67-5F2A-4166-B7FD-FB42E31B9302}" name="2.Correcting inconsistent data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4B5F9C-2272-4F27-ABD4-07DBC3CC4EC5}" name="Table7" displayName="Table7" ref="A1:J32" totalsRowShown="0">
  <autoFilter ref="A1:J32" xr:uid="{854B5F9C-2272-4F27-ABD4-07DBC3CC4EC5}"/>
  <tableColumns count="10">
    <tableColumn id="1" xr3:uid="{3070AC93-62BF-48EB-B970-0AD8C7C7E5FE}" name="Product ID" dataDxfId="10"/>
    <tableColumn id="2" xr3:uid="{BAB01740-AC96-43FE-87FF-AF054C3F0B03}" name="Manufacturing Date" dataDxfId="0"/>
    <tableColumn id="3" xr3:uid="{9D20575D-4987-4CAF-8B03-9D7DDBEE172E}" name="Contry Code" dataDxfId="9"/>
    <tableColumn id="4" xr3:uid="{0E333B4D-0294-42A3-9C34-956DC8018E22}" name="Product Name" dataDxfId="8"/>
    <tableColumn id="5" xr3:uid="{5FECCDC3-2131-4258-B0DD-8E08F15BAFF3}" name="Brand Name" dataDxfId="7"/>
    <tableColumn id="6" xr3:uid="{699FA544-1F42-45CA-8F33-B1B27557B840}" name="Product Brand" dataDxfId="6">
      <calculatedColumnFormula>CONCATENATE(D2,"--",E2)</calculatedColumnFormula>
    </tableColumn>
    <tableColumn id="7" xr3:uid="{942BC143-25E0-4FFB-B6FB-B908EDEF1159}" name="Price ($)" dataDxfId="5"/>
    <tableColumn id="8" xr3:uid="{7CCCB6D6-9B79-4FE4-9629-F8962CC156A3}" name="Quantity" dataDxfId="4"/>
    <tableColumn id="9" xr3:uid="{26418FCD-1180-4A9D-A44F-A28206718F8C}" name="Category"/>
    <tableColumn id="11" xr3:uid="{C42DB3F9-A0DB-468E-8875-3BC29B3983C7}" name="Total Price" dataDxfId="2">
      <calculatedColumnFormula>Table7[[#This Row],[Price ($)]]*Table7[[#This Row],[Quantity]]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B8151D-B472-4EBB-AD93-2A4A11EDBEB3}" name="Table8" displayName="Table8" ref="O2:O4" totalsRowShown="0" headerRowDxfId="3">
  <autoFilter ref="O2:O4" xr:uid="{37B8151D-B472-4EBB-AD93-2A4A11EDBEB3}"/>
  <tableColumns count="1">
    <tableColumn id="1" xr3:uid="{45862C54-2D35-4F18-8C2E-2AAA7EEB68F1}" name="Merge column">
      <calculatedColumnFormula>CONCATENATE(D1,"--",E1)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zoomScale="82" zoomScaleNormal="82" workbookViewId="0">
      <selection activeCell="K6" sqref="K6"/>
    </sheetView>
  </sheetViews>
  <sheetFormatPr defaultColWidth="12.6640625" defaultRowHeight="15" customHeight="1"/>
  <cols>
    <col min="1" max="1" width="17.6640625" customWidth="1"/>
    <col min="2" max="2" width="27" style="14" customWidth="1"/>
    <col min="3" max="3" width="20" style="20" customWidth="1"/>
    <col min="4" max="4" width="19.77734375" customWidth="1"/>
    <col min="5" max="5" width="19" customWidth="1"/>
    <col min="6" max="6" width="25.33203125" customWidth="1"/>
    <col min="7" max="7" width="29.21875" style="18" customWidth="1"/>
    <col min="9" max="9" width="22.5546875" customWidth="1"/>
    <col min="10" max="10" width="20.21875" customWidth="1"/>
    <col min="13" max="13" width="50.88671875" customWidth="1"/>
    <col min="14" max="14" width="11.5546875" customWidth="1"/>
    <col min="15" max="15" width="42.33203125" customWidth="1"/>
    <col min="16" max="16" width="45" customWidth="1"/>
  </cols>
  <sheetData>
    <row r="1" spans="1:17" ht="15.75" customHeight="1">
      <c r="A1" s="1" t="s">
        <v>0</v>
      </c>
      <c r="B1" s="25" t="s">
        <v>114</v>
      </c>
      <c r="C1" s="24" t="s">
        <v>115</v>
      </c>
      <c r="D1" s="1" t="s">
        <v>1</v>
      </c>
      <c r="E1" s="1" t="s">
        <v>2</v>
      </c>
      <c r="F1" s="11" t="s">
        <v>116</v>
      </c>
      <c r="G1" s="15" t="s">
        <v>3</v>
      </c>
      <c r="H1" s="1" t="s">
        <v>4</v>
      </c>
      <c r="I1" s="11" t="s">
        <v>5</v>
      </c>
      <c r="J1" s="23" t="s">
        <v>126</v>
      </c>
    </row>
    <row r="2" spans="1:17" ht="15.75" customHeight="1">
      <c r="A2" s="2" t="s">
        <v>6</v>
      </c>
      <c r="B2" s="14">
        <v>28</v>
      </c>
      <c r="C2" s="20" t="s">
        <v>102</v>
      </c>
      <c r="D2" s="2" t="s">
        <v>38</v>
      </c>
      <c r="E2" s="2" t="s">
        <v>7</v>
      </c>
      <c r="F2" s="2" t="str">
        <f>CONCATENATE(D2,"--",E2)</f>
        <v>Laptop--Dell</v>
      </c>
      <c r="G2" s="16">
        <v>1000</v>
      </c>
      <c r="H2" s="2">
        <v>30</v>
      </c>
      <c r="I2" s="2" t="s">
        <v>8</v>
      </c>
      <c r="J2" s="18">
        <f>Table7[[#This Row],[Price ($)]]*Table7[[#This Row],[Quantity]]</f>
        <v>30000</v>
      </c>
      <c r="M2" s="8" t="s">
        <v>92</v>
      </c>
      <c r="N2" s="8"/>
      <c r="O2" s="8" t="s">
        <v>124</v>
      </c>
    </row>
    <row r="3" spans="1:17" ht="15.75" customHeight="1">
      <c r="A3" s="3" t="s">
        <v>9</v>
      </c>
      <c r="B3" s="14">
        <v>15</v>
      </c>
      <c r="C3" s="20" t="s">
        <v>102</v>
      </c>
      <c r="D3" s="3" t="s">
        <v>10</v>
      </c>
      <c r="E3" s="3" t="s">
        <v>11</v>
      </c>
      <c r="F3" s="2" t="str">
        <f t="shared" ref="F3:F32" si="0">CONCATENATE(D3,"--",E3)</f>
        <v>Sneakers--Nike</v>
      </c>
      <c r="G3" s="17">
        <v>80</v>
      </c>
      <c r="H3" s="3">
        <v>15</v>
      </c>
      <c r="I3" s="3" t="s">
        <v>12</v>
      </c>
      <c r="J3" s="22">
        <f>Table7[[#This Row],[Price ($)]]*Table7[[#This Row],[Quantity]]</f>
        <v>1200</v>
      </c>
      <c r="K3" s="4"/>
      <c r="L3" s="4"/>
      <c r="M3" s="7" t="s">
        <v>93</v>
      </c>
      <c r="N3" s="4"/>
      <c r="O3" s="21" t="s">
        <v>125</v>
      </c>
      <c r="P3" s="4"/>
      <c r="Q3" s="4"/>
    </row>
    <row r="4" spans="1:17" ht="15.75" customHeight="1">
      <c r="A4" s="2" t="s">
        <v>13</v>
      </c>
      <c r="B4" s="14">
        <v>3</v>
      </c>
      <c r="C4" s="20" t="s">
        <v>102</v>
      </c>
      <c r="D4" s="2" t="s">
        <v>14</v>
      </c>
      <c r="E4" s="2" t="s">
        <v>15</v>
      </c>
      <c r="F4" s="2" t="str">
        <f t="shared" si="0"/>
        <v>Coffee Maker--Keurig</v>
      </c>
      <c r="G4" s="16">
        <v>130</v>
      </c>
      <c r="H4" s="2">
        <v>40</v>
      </c>
      <c r="I4" s="2" t="s">
        <v>16</v>
      </c>
      <c r="J4" s="19">
        <f>Table7[[#This Row],[Price ($)]]*Table7[[#This Row],[Quantity]]</f>
        <v>5200</v>
      </c>
      <c r="K4" s="5"/>
      <c r="L4" s="4"/>
      <c r="M4" s="9" t="s">
        <v>123</v>
      </c>
      <c r="N4" s="4"/>
      <c r="O4" s="4" t="str">
        <f>CONCATENATE(D2,"--",E2)</f>
        <v>Laptop--Dell</v>
      </c>
      <c r="P4" s="4"/>
      <c r="Q4" s="4"/>
    </row>
    <row r="5" spans="1:17" ht="15.75" customHeight="1">
      <c r="A5" s="3" t="s">
        <v>17</v>
      </c>
      <c r="B5" s="14">
        <v>11</v>
      </c>
      <c r="C5" s="20" t="s">
        <v>102</v>
      </c>
      <c r="D5" s="3" t="s">
        <v>72</v>
      </c>
      <c r="E5" s="3" t="s">
        <v>18</v>
      </c>
      <c r="F5" s="2" t="str">
        <f t="shared" si="0"/>
        <v>Smartphone--Samsung</v>
      </c>
      <c r="G5" s="17">
        <v>900</v>
      </c>
      <c r="H5" s="3">
        <v>25</v>
      </c>
      <c r="I5" s="3" t="s">
        <v>8</v>
      </c>
      <c r="J5" s="19">
        <f>Table7[[#This Row],[Price ($)]]*Table7[[#This Row],[Quantity]]</f>
        <v>22500</v>
      </c>
      <c r="K5" s="6"/>
      <c r="L5" s="4"/>
      <c r="M5" s="19">
        <f>IF(ISBLANK(G2),AVERAGE($G$2:$G$32),G2)</f>
        <v>1000</v>
      </c>
      <c r="N5" s="4"/>
      <c r="O5" s="4"/>
      <c r="P5" s="4"/>
      <c r="Q5" s="4"/>
    </row>
    <row r="6" spans="1:17" ht="15.75" customHeight="1">
      <c r="A6" s="2" t="s">
        <v>19</v>
      </c>
      <c r="B6" s="14">
        <v>22</v>
      </c>
      <c r="C6" s="20" t="s">
        <v>102</v>
      </c>
      <c r="D6" s="2" t="s">
        <v>20</v>
      </c>
      <c r="E6" s="2" t="s">
        <v>21</v>
      </c>
      <c r="F6" s="2" t="str">
        <f t="shared" si="0"/>
        <v>Backpack--North Face</v>
      </c>
      <c r="G6" s="16">
        <v>70</v>
      </c>
      <c r="H6" s="2">
        <v>20</v>
      </c>
      <c r="I6" s="2" t="s">
        <v>97</v>
      </c>
      <c r="J6" s="18">
        <f>Table7[[#This Row],[Price ($)]]*Table7[[#This Row],[Quantity]]</f>
        <v>1400</v>
      </c>
    </row>
    <row r="7" spans="1:17" ht="15.75" customHeight="1">
      <c r="A7" s="3" t="s">
        <v>22</v>
      </c>
      <c r="B7" s="14">
        <v>7</v>
      </c>
      <c r="C7" s="20" t="s">
        <v>103</v>
      </c>
      <c r="D7" s="3" t="s">
        <v>23</v>
      </c>
      <c r="E7" s="3" t="s">
        <v>24</v>
      </c>
      <c r="F7" s="2" t="str">
        <f t="shared" si="0"/>
        <v>Headphones--Sony</v>
      </c>
      <c r="G7" s="17">
        <v>271.85185185185185</v>
      </c>
      <c r="H7" s="3">
        <v>45</v>
      </c>
      <c r="I7" s="3" t="s">
        <v>8</v>
      </c>
      <c r="J7" s="18">
        <f>Table7[[#This Row],[Price ($)]]*Table7[[#This Row],[Quantity]]</f>
        <v>12233.333333333334</v>
      </c>
      <c r="K7" s="12"/>
      <c r="M7" s="8" t="s">
        <v>94</v>
      </c>
      <c r="N7" s="8"/>
      <c r="O7" s="8"/>
    </row>
    <row r="8" spans="1:17" ht="15.75" customHeight="1">
      <c r="A8" s="2" t="s">
        <v>25</v>
      </c>
      <c r="B8" s="14">
        <v>19</v>
      </c>
      <c r="C8" s="20" t="s">
        <v>103</v>
      </c>
      <c r="D8" s="2" t="s">
        <v>96</v>
      </c>
      <c r="E8" s="2" t="s">
        <v>26</v>
      </c>
      <c r="F8" s="2" t="str">
        <f t="shared" si="0"/>
        <v>T-Shirt--Adidas</v>
      </c>
      <c r="G8" s="16">
        <v>30</v>
      </c>
      <c r="H8" s="2">
        <v>5</v>
      </c>
      <c r="I8" s="2" t="s">
        <v>12</v>
      </c>
      <c r="J8" s="18">
        <f>Table7[[#This Row],[Price ($)]]*Table7[[#This Row],[Quantity]]</f>
        <v>150</v>
      </c>
      <c r="M8" s="9" t="s">
        <v>117</v>
      </c>
    </row>
    <row r="9" spans="1:17" ht="15.75" customHeight="1">
      <c r="A9" s="3" t="s">
        <v>27</v>
      </c>
      <c r="B9" s="14">
        <v>23</v>
      </c>
      <c r="C9" s="20" t="s">
        <v>103</v>
      </c>
      <c r="D9" s="3" t="s">
        <v>28</v>
      </c>
      <c r="E9" s="3" t="s">
        <v>29</v>
      </c>
      <c r="F9" s="2" t="str">
        <f t="shared" si="0"/>
        <v>Blender--Ninja</v>
      </c>
      <c r="G9" s="17">
        <v>90</v>
      </c>
      <c r="H9" s="3">
        <v>35</v>
      </c>
      <c r="I9" s="3" t="s">
        <v>16</v>
      </c>
      <c r="J9" s="18">
        <f>Table7[[#This Row],[Price ($)]]*Table7[[#This Row],[Quantity]]</f>
        <v>3150</v>
      </c>
      <c r="M9" t="str">
        <f>IF(ISBLANK(I2),"Unknown",I2)</f>
        <v>Electronics</v>
      </c>
    </row>
    <row r="10" spans="1:17" ht="15.75" customHeight="1">
      <c r="A10" s="2" t="s">
        <v>30</v>
      </c>
      <c r="B10" s="14">
        <v>5</v>
      </c>
      <c r="C10" s="20" t="s">
        <v>103</v>
      </c>
      <c r="D10" s="2" t="s">
        <v>31</v>
      </c>
      <c r="E10" s="2" t="s">
        <v>32</v>
      </c>
      <c r="F10" s="2" t="str">
        <f t="shared" si="0"/>
        <v>Tablet--Apple</v>
      </c>
      <c r="G10" s="16">
        <v>500</v>
      </c>
      <c r="H10" s="2">
        <v>50</v>
      </c>
      <c r="I10" s="2" t="s">
        <v>8</v>
      </c>
      <c r="J10" s="18">
        <f>Table7[[#This Row],[Price ($)]]*Table7[[#This Row],[Quantity]]</f>
        <v>25000</v>
      </c>
    </row>
    <row r="11" spans="1:17" ht="15.75" customHeight="1">
      <c r="A11" s="3" t="s">
        <v>33</v>
      </c>
      <c r="B11" s="14">
        <v>14</v>
      </c>
      <c r="C11" s="20" t="s">
        <v>103</v>
      </c>
      <c r="D11" s="3" t="s">
        <v>34</v>
      </c>
      <c r="E11" s="3" t="s">
        <v>35</v>
      </c>
      <c r="F11" s="2" t="str">
        <f t="shared" si="0"/>
        <v>Hiking Boots--Timberland</v>
      </c>
      <c r="G11" s="17">
        <v>130</v>
      </c>
      <c r="H11" s="3">
        <v>10</v>
      </c>
      <c r="I11" s="3" t="s">
        <v>36</v>
      </c>
      <c r="J11" s="18">
        <f>Table7[[#This Row],[Price ($)]]*Table7[[#This Row],[Quantity]]</f>
        <v>1300</v>
      </c>
    </row>
    <row r="12" spans="1:17" ht="15.75" customHeight="1">
      <c r="A12" s="2" t="s">
        <v>37</v>
      </c>
      <c r="B12" s="14">
        <v>17</v>
      </c>
      <c r="C12" s="20" t="s">
        <v>104</v>
      </c>
      <c r="D12" s="2" t="s">
        <v>38</v>
      </c>
      <c r="E12" s="2" t="s">
        <v>39</v>
      </c>
      <c r="F12" s="2" t="str">
        <f t="shared" si="0"/>
        <v>Laptop--HP</v>
      </c>
      <c r="G12" s="16">
        <v>950</v>
      </c>
      <c r="H12" s="2">
        <v>25</v>
      </c>
      <c r="I12" s="2" t="s">
        <v>8</v>
      </c>
      <c r="J12" s="18">
        <f>Table7[[#This Row],[Price ($)]]*Table7[[#This Row],[Quantity]]</f>
        <v>23750</v>
      </c>
      <c r="M12" s="10" t="s">
        <v>95</v>
      </c>
    </row>
    <row r="13" spans="1:17" ht="15.75" customHeight="1">
      <c r="A13" s="3" t="s">
        <v>40</v>
      </c>
      <c r="B13" s="14">
        <v>25</v>
      </c>
      <c r="C13" s="20" t="s">
        <v>105</v>
      </c>
      <c r="D13" s="3" t="s">
        <v>10</v>
      </c>
      <c r="E13" s="3" t="s">
        <v>26</v>
      </c>
      <c r="F13" s="2" t="str">
        <f t="shared" si="0"/>
        <v>Sneakers--Adidas</v>
      </c>
      <c r="G13" s="17">
        <v>90</v>
      </c>
      <c r="H13" s="3">
        <v>40</v>
      </c>
      <c r="I13" s="3" t="s">
        <v>97</v>
      </c>
      <c r="J13" s="18">
        <f>Table7[[#This Row],[Price ($)]]*Table7[[#This Row],[Quantity]]</f>
        <v>3600</v>
      </c>
      <c r="M13" s="9" t="s">
        <v>120</v>
      </c>
    </row>
    <row r="14" spans="1:17" ht="15.75" customHeight="1">
      <c r="A14" s="2" t="s">
        <v>41</v>
      </c>
      <c r="B14" s="14">
        <v>8</v>
      </c>
      <c r="C14" s="20" t="s">
        <v>106</v>
      </c>
      <c r="D14" s="2" t="s">
        <v>14</v>
      </c>
      <c r="E14" s="2" t="s">
        <v>42</v>
      </c>
      <c r="F14" s="2" t="str">
        <f t="shared" si="0"/>
        <v>Coffee Maker--Nespresso</v>
      </c>
      <c r="G14" s="16">
        <v>120</v>
      </c>
      <c r="H14" s="2">
        <v>35</v>
      </c>
      <c r="I14" s="2" t="s">
        <v>97</v>
      </c>
      <c r="J14" s="18">
        <f>Table7[[#This Row],[Price ($)]]*Table7[[#This Row],[Quantity]]</f>
        <v>4200</v>
      </c>
      <c r="M14" s="9" t="s">
        <v>118</v>
      </c>
    </row>
    <row r="15" spans="1:17" ht="15.75" customHeight="1">
      <c r="A15" s="3" t="s">
        <v>43</v>
      </c>
      <c r="B15" s="14">
        <v>18</v>
      </c>
      <c r="C15" s="20" t="s">
        <v>107</v>
      </c>
      <c r="D15" s="3" t="s">
        <v>44</v>
      </c>
      <c r="E15" s="3" t="s">
        <v>45</v>
      </c>
      <c r="F15" s="2" t="str">
        <f t="shared" si="0"/>
        <v>Smartwatch--Fitbit</v>
      </c>
      <c r="G15" s="17">
        <v>150</v>
      </c>
      <c r="H15" s="3">
        <v>15</v>
      </c>
      <c r="I15" s="3" t="s">
        <v>8</v>
      </c>
      <c r="J15" s="18">
        <f>Table7[[#This Row],[Price ($)]]*Table7[[#This Row],[Quantity]]</f>
        <v>2250</v>
      </c>
      <c r="M15" t="str">
        <f>PROPER(TRIM(CLEAN(D2)))</f>
        <v>Laptop</v>
      </c>
    </row>
    <row r="16" spans="1:17" ht="15.75" customHeight="1">
      <c r="A16" s="2" t="s">
        <v>46</v>
      </c>
      <c r="B16" s="14">
        <v>16</v>
      </c>
      <c r="C16" s="20" t="s">
        <v>108</v>
      </c>
      <c r="D16" s="2" t="s">
        <v>23</v>
      </c>
      <c r="E16" s="2" t="s">
        <v>47</v>
      </c>
      <c r="F16" s="2" t="str">
        <f t="shared" si="0"/>
        <v>Headphones--Bose</v>
      </c>
      <c r="G16" s="16">
        <v>250</v>
      </c>
      <c r="H16" s="2">
        <v>20</v>
      </c>
      <c r="I16" s="2" t="s">
        <v>8</v>
      </c>
      <c r="J16" s="18">
        <f>Table7[[#This Row],[Price ($)]]*Table7[[#This Row],[Quantity]]</f>
        <v>5000</v>
      </c>
    </row>
    <row r="17" spans="1:13" ht="15.75" customHeight="1">
      <c r="A17" s="3" t="s">
        <v>48</v>
      </c>
      <c r="B17" s="14">
        <v>21</v>
      </c>
      <c r="C17" s="20" t="s">
        <v>107</v>
      </c>
      <c r="D17" s="3" t="s">
        <v>49</v>
      </c>
      <c r="E17" s="3" t="s">
        <v>50</v>
      </c>
      <c r="F17" s="2" t="str">
        <f t="shared" si="0"/>
        <v>Laptop Bag--Samsonite</v>
      </c>
      <c r="G17" s="17">
        <v>50</v>
      </c>
      <c r="H17" s="3">
        <v>35</v>
      </c>
      <c r="I17" s="3" t="s">
        <v>51</v>
      </c>
      <c r="J17" s="18">
        <f>Table7[[#This Row],[Price ($)]]*Table7[[#This Row],[Quantity]]</f>
        <v>1750</v>
      </c>
      <c r="M17" s="9" t="s">
        <v>121</v>
      </c>
    </row>
    <row r="18" spans="1:13" ht="15.75" customHeight="1">
      <c r="A18" s="2" t="s">
        <v>52</v>
      </c>
      <c r="B18" s="14">
        <v>20</v>
      </c>
      <c r="C18" s="20" t="s">
        <v>109</v>
      </c>
      <c r="D18" s="2" t="s">
        <v>44</v>
      </c>
      <c r="E18" s="2" t="s">
        <v>53</v>
      </c>
      <c r="F18" s="2" t="str">
        <f t="shared" si="0"/>
        <v>Smartwatch--Huawei</v>
      </c>
      <c r="G18" s="16">
        <v>160</v>
      </c>
      <c r="H18" s="2">
        <v>15</v>
      </c>
      <c r="I18" s="2" t="s">
        <v>8</v>
      </c>
      <c r="J18" s="18">
        <f>Table7[[#This Row],[Price ($)]]*Table7[[#This Row],[Quantity]]</f>
        <v>2400</v>
      </c>
      <c r="M18" s="9" t="s">
        <v>119</v>
      </c>
    </row>
    <row r="19" spans="1:13" ht="15.75" customHeight="1">
      <c r="A19" s="3" t="s">
        <v>54</v>
      </c>
      <c r="B19" s="14">
        <v>27</v>
      </c>
      <c r="C19" s="20" t="s">
        <v>110</v>
      </c>
      <c r="D19" s="3" t="s">
        <v>38</v>
      </c>
      <c r="E19" s="3" t="s">
        <v>55</v>
      </c>
      <c r="F19" s="2" t="str">
        <f t="shared" si="0"/>
        <v>Laptop--Asus</v>
      </c>
      <c r="G19" s="17">
        <v>980</v>
      </c>
      <c r="H19" s="3">
        <v>10</v>
      </c>
      <c r="I19" s="3" t="s">
        <v>8</v>
      </c>
      <c r="J19" s="18">
        <f>Table7[[#This Row],[Price ($)]]*Table7[[#This Row],[Quantity]]</f>
        <v>9800</v>
      </c>
      <c r="M19" s="12" t="str">
        <f>TRIM(CLEAN(I2))</f>
        <v>Electronics</v>
      </c>
    </row>
    <row r="20" spans="1:13" ht="15.75" customHeight="1">
      <c r="A20" s="2" t="s">
        <v>56</v>
      </c>
      <c r="B20" s="14">
        <v>1</v>
      </c>
      <c r="C20" s="20" t="s">
        <v>103</v>
      </c>
      <c r="D20" s="2" t="s">
        <v>57</v>
      </c>
      <c r="E20" s="2" t="s">
        <v>58</v>
      </c>
      <c r="F20" s="2" t="str">
        <f t="shared" si="0"/>
        <v>Sunglasses--Oakley</v>
      </c>
      <c r="G20" s="16">
        <v>150</v>
      </c>
      <c r="H20" s="2">
        <v>15</v>
      </c>
      <c r="I20" s="2" t="s">
        <v>12</v>
      </c>
      <c r="J20" s="18">
        <f>Table7[[#This Row],[Price ($)]]*Table7[[#This Row],[Quantity]]</f>
        <v>2250</v>
      </c>
      <c r="M20" s="12" t="s">
        <v>98</v>
      </c>
    </row>
    <row r="21" spans="1:13" ht="15.75" customHeight="1">
      <c r="A21" s="3" t="s">
        <v>59</v>
      </c>
      <c r="B21" s="14">
        <v>14</v>
      </c>
      <c r="C21" s="20" t="s">
        <v>102</v>
      </c>
      <c r="D21" s="3" t="s">
        <v>60</v>
      </c>
      <c r="E21" s="3" t="s">
        <v>61</v>
      </c>
      <c r="F21" s="2" t="str">
        <f t="shared" si="0"/>
        <v>Camping Tent--Coleman</v>
      </c>
      <c r="G21" s="17">
        <v>271.85185185185185</v>
      </c>
      <c r="H21" s="3">
        <v>10</v>
      </c>
      <c r="I21" s="3" t="s">
        <v>36</v>
      </c>
      <c r="J21" s="18">
        <f>Table7[[#This Row],[Price ($)]]*Table7[[#This Row],[Quantity]]</f>
        <v>2718.5185185185182</v>
      </c>
      <c r="M21" s="12" t="s">
        <v>127</v>
      </c>
    </row>
    <row r="22" spans="1:13" ht="15.75" customHeight="1">
      <c r="A22" s="2" t="s">
        <v>62</v>
      </c>
      <c r="B22" s="14">
        <v>14</v>
      </c>
      <c r="C22" s="20" t="s">
        <v>111</v>
      </c>
      <c r="D22" s="2" t="s">
        <v>63</v>
      </c>
      <c r="E22" s="2" t="s">
        <v>64</v>
      </c>
      <c r="F22" s="2" t="str">
        <f t="shared" si="0"/>
        <v>Camera--Nikon</v>
      </c>
      <c r="G22" s="16">
        <v>700</v>
      </c>
      <c r="H22" s="2">
        <v>50</v>
      </c>
      <c r="I22" s="2" t="s">
        <v>8</v>
      </c>
      <c r="J22" s="18">
        <f>Table7[[#This Row],[Price ($)]]*Table7[[#This Row],[Quantity]]</f>
        <v>35000</v>
      </c>
    </row>
    <row r="23" spans="1:13" ht="15.75" customHeight="1">
      <c r="A23" s="3" t="s">
        <v>65</v>
      </c>
      <c r="B23" s="14">
        <v>9</v>
      </c>
      <c r="C23" s="20" t="s">
        <v>107</v>
      </c>
      <c r="D23" s="3" t="s">
        <v>66</v>
      </c>
      <c r="E23" s="3" t="s">
        <v>67</v>
      </c>
      <c r="F23" s="2" t="str">
        <f t="shared" si="0"/>
        <v>Microwave--Panasonic</v>
      </c>
      <c r="G23" s="17">
        <v>80</v>
      </c>
      <c r="H23" s="3">
        <v>20</v>
      </c>
      <c r="I23" s="3" t="s">
        <v>16</v>
      </c>
      <c r="J23" s="18">
        <f>Table7[[#This Row],[Price ($)]]*Table7[[#This Row],[Quantity]]</f>
        <v>1600</v>
      </c>
      <c r="M23" s="12" t="s">
        <v>122</v>
      </c>
    </row>
    <row r="24" spans="1:13" ht="15.75" customHeight="1">
      <c r="A24" s="2" t="s">
        <v>68</v>
      </c>
      <c r="B24" s="14">
        <v>19</v>
      </c>
      <c r="C24" s="20" t="s">
        <v>112</v>
      </c>
      <c r="D24" s="2" t="s">
        <v>69</v>
      </c>
      <c r="E24" s="2" t="s">
        <v>70</v>
      </c>
      <c r="F24" s="2" t="str">
        <f t="shared" si="0"/>
        <v>Fitness Tracker--Xiaomi</v>
      </c>
      <c r="G24" s="16">
        <v>150</v>
      </c>
      <c r="H24" s="2">
        <v>30</v>
      </c>
      <c r="I24" s="2" t="s">
        <v>97</v>
      </c>
      <c r="J24" s="18">
        <f>Table7[[#This Row],[Price ($)]]*Table7[[#This Row],[Quantity]]</f>
        <v>4500</v>
      </c>
      <c r="M24" s="12" t="s">
        <v>101</v>
      </c>
    </row>
    <row r="25" spans="1:13" ht="15.75" customHeight="1">
      <c r="A25" s="2" t="s">
        <v>71</v>
      </c>
      <c r="B25" s="14">
        <v>29</v>
      </c>
      <c r="C25" s="20" t="s">
        <v>107</v>
      </c>
      <c r="D25" s="2" t="s">
        <v>72</v>
      </c>
      <c r="E25" s="2" t="s">
        <v>73</v>
      </c>
      <c r="F25" s="2" t="str">
        <f t="shared" si="0"/>
        <v>Smartphone--Google</v>
      </c>
      <c r="G25" s="16">
        <v>800</v>
      </c>
      <c r="H25" s="2">
        <v>45</v>
      </c>
      <c r="I25" s="2" t="s">
        <v>8</v>
      </c>
      <c r="J25" s="18">
        <f>Table7[[#This Row],[Price ($)]]*Table7[[#This Row],[Quantity]]</f>
        <v>36000</v>
      </c>
      <c r="M25" t="s">
        <v>99</v>
      </c>
    </row>
    <row r="26" spans="1:13" ht="15.75" customHeight="1">
      <c r="A26" s="3" t="s">
        <v>74</v>
      </c>
      <c r="B26" s="14">
        <v>3</v>
      </c>
      <c r="C26" s="20" t="s">
        <v>107</v>
      </c>
      <c r="D26" s="3" t="s">
        <v>57</v>
      </c>
      <c r="E26" s="3" t="s">
        <v>75</v>
      </c>
      <c r="F26" s="2" t="str">
        <f t="shared" si="0"/>
        <v>Sunglasses--Ray-Ban</v>
      </c>
      <c r="G26" s="17">
        <v>271.85185185185185</v>
      </c>
      <c r="H26" s="3">
        <v>25</v>
      </c>
      <c r="I26" s="3" t="s">
        <v>12</v>
      </c>
      <c r="J26" s="18">
        <f>Table7[[#This Row],[Price ($)]]*Table7[[#This Row],[Quantity]]</f>
        <v>6796.2962962962965</v>
      </c>
      <c r="M26" t="s">
        <v>100</v>
      </c>
    </row>
    <row r="27" spans="1:13" ht="15.75" customHeight="1">
      <c r="A27" s="2" t="s">
        <v>76</v>
      </c>
      <c r="B27" s="14">
        <v>11</v>
      </c>
      <c r="C27" s="20" t="s">
        <v>107</v>
      </c>
      <c r="D27" s="2" t="s">
        <v>28</v>
      </c>
      <c r="E27" s="2" t="s">
        <v>77</v>
      </c>
      <c r="F27" s="2" t="str">
        <f t="shared" si="0"/>
        <v>Blender--Vitamix</v>
      </c>
      <c r="G27" s="16">
        <v>400</v>
      </c>
      <c r="H27" s="2">
        <v>40</v>
      </c>
      <c r="I27" s="2" t="s">
        <v>16</v>
      </c>
      <c r="J27" s="18">
        <f>Table7[[#This Row],[Price ($)]]*Table7[[#This Row],[Quantity]]</f>
        <v>16000</v>
      </c>
    </row>
    <row r="28" spans="1:13" ht="15.75" customHeight="1">
      <c r="A28" s="2" t="s">
        <v>78</v>
      </c>
      <c r="B28" s="14">
        <v>7</v>
      </c>
      <c r="C28" s="20" t="s">
        <v>107</v>
      </c>
      <c r="D28" s="2" t="s">
        <v>79</v>
      </c>
      <c r="E28" s="2" t="s">
        <v>80</v>
      </c>
      <c r="F28" s="2" t="str">
        <f t="shared" si="0"/>
        <v>Dress--Zara</v>
      </c>
      <c r="G28" s="16">
        <v>60</v>
      </c>
      <c r="H28" s="2">
        <v>30</v>
      </c>
      <c r="I28" s="2" t="s">
        <v>12</v>
      </c>
      <c r="J28" s="18">
        <f>Table7[[#This Row],[Price ($)]]*Table7[[#This Row],[Quantity]]</f>
        <v>1800</v>
      </c>
      <c r="M28" s="12" t="s">
        <v>127</v>
      </c>
    </row>
    <row r="29" spans="1:13" ht="15.75" customHeight="1">
      <c r="A29" s="3" t="s">
        <v>81</v>
      </c>
      <c r="B29" s="14">
        <v>13</v>
      </c>
      <c r="C29" s="20" t="s">
        <v>107</v>
      </c>
      <c r="D29" s="3" t="s">
        <v>82</v>
      </c>
      <c r="E29" s="3" t="s">
        <v>83</v>
      </c>
      <c r="F29" s="2" t="str">
        <f t="shared" si="0"/>
        <v>Toaster--Hamilton</v>
      </c>
      <c r="G29" s="17">
        <v>40</v>
      </c>
      <c r="H29" s="3">
        <v>10</v>
      </c>
      <c r="I29" s="3" t="s">
        <v>16</v>
      </c>
      <c r="J29" s="18">
        <f>Table7[[#This Row],[Price ($)]]*Table7[[#This Row],[Quantity]]</f>
        <v>400</v>
      </c>
    </row>
    <row r="30" spans="1:13" ht="15.75" customHeight="1">
      <c r="A30" s="2" t="s">
        <v>84</v>
      </c>
      <c r="B30" s="14">
        <v>24</v>
      </c>
      <c r="C30" s="20" t="s">
        <v>107</v>
      </c>
      <c r="D30" s="2" t="s">
        <v>69</v>
      </c>
      <c r="E30" s="2" t="s">
        <v>85</v>
      </c>
      <c r="F30" s="2" t="str">
        <f t="shared" si="0"/>
        <v>Fitness Tracker--Garmin</v>
      </c>
      <c r="G30" s="16">
        <v>130</v>
      </c>
      <c r="H30" s="2">
        <v>5</v>
      </c>
      <c r="I30" s="2" t="s">
        <v>8</v>
      </c>
      <c r="J30" s="18">
        <f>Table7[[#This Row],[Price ($)]]*Table7[[#This Row],[Quantity]]</f>
        <v>650</v>
      </c>
    </row>
    <row r="31" spans="1:13" ht="15.75" customHeight="1">
      <c r="A31" s="3" t="s">
        <v>86</v>
      </c>
      <c r="B31" s="14">
        <v>2</v>
      </c>
      <c r="C31" s="20" t="s">
        <v>107</v>
      </c>
      <c r="D31" s="3" t="s">
        <v>87</v>
      </c>
      <c r="E31" s="3" t="s">
        <v>88</v>
      </c>
      <c r="F31" s="2" t="str">
        <f t="shared" si="0"/>
        <v>Jeans--Levi's</v>
      </c>
      <c r="G31" s="17">
        <v>50</v>
      </c>
      <c r="H31" s="3">
        <v>50</v>
      </c>
      <c r="I31" s="3" t="s">
        <v>12</v>
      </c>
      <c r="J31" s="18">
        <f>Table7[[#This Row],[Price ($)]]*Table7[[#This Row],[Quantity]]</f>
        <v>2500</v>
      </c>
    </row>
    <row r="32" spans="1:13" ht="15.75" customHeight="1">
      <c r="A32" s="3" t="s">
        <v>89</v>
      </c>
      <c r="B32" s="14">
        <v>9</v>
      </c>
      <c r="C32" s="20" t="s">
        <v>113</v>
      </c>
      <c r="D32" s="3" t="s">
        <v>90</v>
      </c>
      <c r="E32" s="3" t="s">
        <v>91</v>
      </c>
      <c r="F32" s="2" t="str">
        <f t="shared" si="0"/>
        <v>Watch--Casio</v>
      </c>
      <c r="G32" s="17">
        <v>100</v>
      </c>
      <c r="H32" s="3">
        <v>20</v>
      </c>
      <c r="I32" s="13" t="s">
        <v>51</v>
      </c>
      <c r="J32" s="18">
        <f>Table7[[#This Row],[Price ($)]]*Table7[[#This Row],[Quantity]]</f>
        <v>2000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1:G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{D5E20009-D345-4105-95D0-38BA426B6034}</x14:id>
        </ext>
      </extLst>
    </cfRule>
  </conditionalFormatting>
  <conditionalFormatting sqref="I1:I1048576">
    <cfRule type="containsText" dxfId="1" priority="1" operator="containsText" text="Electronics">
      <formula>NOT(ISERROR(SEARCH("Electronics",I1)))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E20009-D345-4105-95D0-38BA426B60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thasneem sadhik</cp:lastModifiedBy>
  <dcterms:created xsi:type="dcterms:W3CDTF">2026-05-30T13:49:47Z</dcterms:created>
  <dcterms:modified xsi:type="dcterms:W3CDTF">2026-05-31T10:44:58Z</dcterms:modified>
</cp:coreProperties>
</file>